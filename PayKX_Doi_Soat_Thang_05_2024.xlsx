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giao_dich" sheetId="1" state="visible" r:id="rId1"/>
    <sheet xmlns:r="http://schemas.openxmlformats.org/officeDocument/2006/relationships" name="Tra_cuu_nguoi_dung" sheetId="2" state="visible" r:id="rId2"/>
    <sheet xmlns:r="http://schemas.openxmlformats.org/officeDocument/2006/relationships" name="Tong_hop_phi" sheetId="3" state="visible" r:id="rId3"/>
  </sheets>
  <definedNames>
    <definedName name="_xlnm._FilterDatabase" localSheetId="0" hidden="1">'Du_lieu_giao_dich'!$A$3:$J$15</definedName>
    <definedName name="_xlnm._FilterDatabase" localSheetId="1" hidden="1">'Tra_cuu_nguoi_dung'!$A$1:$C$13</definedName>
    <definedName name="_xlnm._FilterDatabase" localSheetId="2" hidden="1">'Tong_hop_phi'!$A$3:$H$13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23B78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23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phí theo đối tác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'Tong_hop_phi'!H3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'Tong_hop_phi'!$A$4:$A$13</f>
            </numRef>
          </cat>
          <val>
            <numRef>
              <f>'Tong_hop_phi'!$H$4:$H$13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Đối tác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aoDich" displayName="tblGiaoDich" ref="A3:J15" headerRowCount="1">
  <autoFilter ref="A3:J15"/>
  <tableColumns count="10">
    <tableColumn id="1" name="Mã giao dịch"/>
    <tableColumn id="2" name="Mã đối tác"/>
    <tableColumn id="3" name="Tên ngân hàng"/>
    <tableColumn id="4" name="Tên người dùng"/>
    <tableColumn id="5" name="Doanh số (VND)"/>
    <tableColumn id="6" name="Phí cố định (VND)"/>
    <tableColumn id="7" name="Tỷ lệ phí (%)"/>
    <tableColumn id="8" name="Phí biến đổi (VND)"/>
    <tableColumn id="9" name="Tổng phí (VND)"/>
    <tableColumn id="10" name="Nội dung"/>
  </tableColumns>
  <tableStyleInfo name="TableStyleMedium2" showRowStripes="1"/>
</table>
</file>

<file path=xl/tables/table2.xml><?xml version="1.0" encoding="utf-8"?>
<table xmlns="http://schemas.openxmlformats.org/spreadsheetml/2006/main" id="2" name="tblTraCuu" displayName="tblTraCuu" ref="A1:C13" headerRowCount="1">
  <autoFilter ref="A1:C13"/>
  <tableColumns count="3">
    <tableColumn id="1" name="Mã giao dịch"/>
    <tableColumn id="2" name="Mã người dùng"/>
    <tableColumn id="3" name="Tên người dùng"/>
  </tableColumns>
  <tableStyleInfo name="TableStyleMedium4" showRowStripes="1"/>
</table>
</file>

<file path=xl/tables/table3.xml><?xml version="1.0" encoding="utf-8"?>
<table xmlns="http://schemas.openxmlformats.org/spreadsheetml/2006/main" id="3" name="tblPhiNganHang" displayName="tblPhiNganHang" ref="A3:H13" headerRowCount="1">
  <autoFilter ref="A3:H13"/>
  <tableColumns count="8">
    <tableColumn id="1" name="Mã đối tác"/>
    <tableColumn id="2" name="Ngân hàng"/>
    <tableColumn id="3" name="Tỷ lệ phí (%)"/>
    <tableColumn id="4" name="Phí cố định (VND)"/>
    <tableColumn id="5" name="Số giao dịch"/>
    <tableColumn id="6" name="Doanh số (VND)"/>
    <tableColumn id="7" name="Phí biến đổi (VND)"/>
    <tableColumn id="8" name="Tổng phí (VND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6" customWidth="1" min="4" max="4"/>
    <col width="18" customWidth="1" min="5" max="5"/>
    <col width="18" customWidth="1" min="6" max="6"/>
    <col width="14" customWidth="1" min="7" max="7"/>
    <col width="18" customWidth="1" min="8" max="8"/>
    <col width="16" customWidth="1" min="9" max="9"/>
    <col width="25" customWidth="1" min="10" max="10"/>
  </cols>
  <sheetData>
    <row r="1" ht="35" customHeight="1">
      <c r="A1" s="1" t="inlineStr">
        <is>
          <t>DỮ LIỆU GIAO DỊCH – CHUẨN DATABASE</t>
        </is>
      </c>
    </row>
    <row r="2">
      <c r="A2" s="2" t="inlineStr">
        <is>
          <t>Tra cứu tên người dùng: =VLOOKUP(TRIM(A4),'Tra_cuu_nguoi_dung'!$A$2:$C$13,3,FALSE)</t>
        </is>
      </c>
    </row>
    <row r="3">
      <c r="A3" s="3" t="inlineStr">
        <is>
          <t>Mã giao dịch</t>
        </is>
      </c>
      <c r="B3" s="3" t="inlineStr">
        <is>
          <t>Mã đối tác</t>
        </is>
      </c>
      <c r="C3" s="3" t="inlineStr">
        <is>
          <t>Tên ngân hàng</t>
        </is>
      </c>
      <c r="D3" s="3" t="inlineStr">
        <is>
          <t>Tên người dùng</t>
        </is>
      </c>
      <c r="E3" s="3" t="inlineStr">
        <is>
          <t>Doanh số (VND)</t>
        </is>
      </c>
      <c r="F3" s="3" t="inlineStr">
        <is>
          <t>Phí cố định (VND)</t>
        </is>
      </c>
      <c r="G3" s="3" t="inlineStr">
        <is>
          <t>Tỷ lệ phí (%)</t>
        </is>
      </c>
      <c r="H3" s="3" t="inlineStr">
        <is>
          <t>Phí biến đổi (VND)</t>
        </is>
      </c>
      <c r="I3" s="3" t="inlineStr">
        <is>
          <t>Tổng phí (VND)</t>
        </is>
      </c>
      <c r="J3" s="3" t="inlineStr">
        <is>
          <t>Nội dung</t>
        </is>
      </c>
    </row>
    <row r="4">
      <c r="A4" t="inlineStr">
        <is>
          <t>GD0001</t>
        </is>
      </c>
      <c r="B4" t="inlineStr">
        <is>
          <t>VCB</t>
        </is>
      </c>
      <c r="C4">
        <f>VLOOKUP(TRIM(B4),'Tong_hop_phi'!$A$4:$D$13,2,FALSE)</f>
        <v/>
      </c>
      <c r="D4">
        <f>IFERROR(VLOOKUP(TRIM(A4),'Tra_cuu_nguoi_dung'!$A$2:$C$13,3,FALSE),"#N/A")</f>
        <v/>
      </c>
      <c r="E4" s="4" t="n">
        <v>1250000</v>
      </c>
      <c r="F4" s="4">
        <f>VLOOKUP(TRIM(B4),'Tong_hop_phi'!$A$4:$D$13,4,FALSE)</f>
        <v/>
      </c>
      <c r="G4" s="5">
        <f>VLOOKUP(TRIM(B4),'Tong_hop_phi'!$A$4:$D$13,3,FALSE)</f>
        <v/>
      </c>
      <c r="H4" s="4">
        <f>E4*G4</f>
        <v/>
      </c>
      <c r="I4" s="4">
        <f>F4+H4</f>
        <v/>
      </c>
      <c r="J4" t="inlineStr">
        <is>
          <t>Thanh toán học phí</t>
        </is>
      </c>
    </row>
    <row r="5">
      <c r="A5" t="inlineStr">
        <is>
          <t>GD0002</t>
        </is>
      </c>
      <c r="B5" t="inlineStr">
        <is>
          <t>BIDV</t>
        </is>
      </c>
      <c r="C5">
        <f>VLOOKUP(TRIM(B5),'Tong_hop_phi'!$A$4:$D$13,2,FALSE)</f>
        <v/>
      </c>
      <c r="D5">
        <f>IFERROR(VLOOKUP(TRIM(A5),'Tra_cuu_nguoi_dung'!$A$2:$C$13,3,FALSE),"#N/A")</f>
        <v/>
      </c>
      <c r="E5" s="4" t="n">
        <v>890000</v>
      </c>
      <c r="F5" s="4">
        <f>VLOOKUP(TRIM(B5),'Tong_hop_phi'!$A$4:$D$13,4,FALSE)</f>
        <v/>
      </c>
      <c r="G5" s="5">
        <f>VLOOKUP(TRIM(B5),'Tong_hop_phi'!$A$4:$D$13,3,FALSE)</f>
        <v/>
      </c>
      <c r="H5" s="4">
        <f>E5*G5</f>
        <v/>
      </c>
      <c r="I5" s="4">
        <f>F5+H5</f>
        <v/>
      </c>
      <c r="J5" t="inlineStr">
        <is>
          <t>Nạp tiền</t>
        </is>
      </c>
    </row>
    <row r="6">
      <c r="A6" t="inlineStr">
        <is>
          <t>GD0003</t>
        </is>
      </c>
      <c r="B6" t="inlineStr">
        <is>
          <t>CTG</t>
        </is>
      </c>
      <c r="C6">
        <f>VLOOKUP(TRIM(B6),'Tong_hop_phi'!$A$4:$D$13,2,FALSE)</f>
        <v/>
      </c>
      <c r="D6">
        <f>IFERROR(VLOOKUP(TRIM(A6),'Tra_cuu_nguoi_dung'!$A$2:$C$13,3,FALSE),"#N/A")</f>
        <v/>
      </c>
      <c r="E6" s="4" t="n">
        <v>520000</v>
      </c>
      <c r="F6" s="4">
        <f>VLOOKUP(TRIM(B6),'Tong_hop_phi'!$A$4:$D$13,4,FALSE)</f>
        <v/>
      </c>
      <c r="G6" s="5">
        <f>VLOOKUP(TRIM(B6),'Tong_hop_phi'!$A$4:$D$13,3,FALSE)</f>
        <v/>
      </c>
      <c r="H6" s="4">
        <f>E6*G6</f>
        <v/>
      </c>
      <c r="I6" s="4">
        <f>F6+H6</f>
        <v/>
      </c>
      <c r="J6" t="inlineStr">
        <is>
          <t>Thanh toán điện thoại</t>
        </is>
      </c>
    </row>
    <row r="7">
      <c r="A7" t="inlineStr">
        <is>
          <t>GD0004</t>
        </is>
      </c>
      <c r="B7" t="inlineStr">
        <is>
          <t>TCB</t>
        </is>
      </c>
      <c r="C7">
        <f>VLOOKUP(TRIM(B7),'Tong_hop_phi'!$A$4:$D$13,2,FALSE)</f>
        <v/>
      </c>
      <c r="D7">
        <f>IFERROR(VLOOKUP(TRIM(A7),'Tra_cuu_nguoi_dung'!$A$2:$C$13,3,FALSE),"#N/A")</f>
        <v/>
      </c>
      <c r="E7" s="4" t="n">
        <v>760000</v>
      </c>
      <c r="F7" s="4">
        <f>VLOOKUP(TRIM(B7),'Tong_hop_phi'!$A$4:$D$13,4,FALSE)</f>
        <v/>
      </c>
      <c r="G7" s="5">
        <f>VLOOKUP(TRIM(B7),'Tong_hop_phi'!$A$4:$D$13,3,FALSE)</f>
        <v/>
      </c>
      <c r="H7" s="4">
        <f>E7*G7</f>
        <v/>
      </c>
      <c r="I7" s="4">
        <f>F7+H7</f>
        <v/>
      </c>
      <c r="J7" t="inlineStr">
        <is>
          <t>Mua vé xe</t>
        </is>
      </c>
    </row>
    <row r="8">
      <c r="A8" t="inlineStr">
        <is>
          <t>GD0005</t>
        </is>
      </c>
      <c r="B8" t="inlineStr">
        <is>
          <t>MBB</t>
        </is>
      </c>
      <c r="C8">
        <f>VLOOKUP(TRIM(B8),'Tong_hop_phi'!$A$4:$D$13,2,FALSE)</f>
        <v/>
      </c>
      <c r="D8">
        <f>IFERROR(VLOOKUP(TRIM(A8),'Tra_cuu_nguoi_dung'!$A$2:$C$13,3,FALSE),"#N/A")</f>
        <v/>
      </c>
      <c r="E8" s="4" t="n">
        <v>1320000</v>
      </c>
      <c r="F8" s="4">
        <f>VLOOKUP(TRIM(B8),'Tong_hop_phi'!$A$4:$D$13,4,FALSE)</f>
        <v/>
      </c>
      <c r="G8" s="5">
        <f>VLOOKUP(TRIM(B8),'Tong_hop_phi'!$A$4:$D$13,3,FALSE)</f>
        <v/>
      </c>
      <c r="H8" s="4">
        <f>E8*G8</f>
        <v/>
      </c>
      <c r="I8" s="4">
        <f>F8+H8</f>
        <v/>
      </c>
      <c r="J8" t="inlineStr">
        <is>
          <t>Nạp tiền</t>
        </is>
      </c>
    </row>
    <row r="9">
      <c r="A9" t="inlineStr">
        <is>
          <t>GD0006</t>
        </is>
      </c>
      <c r="B9" t="inlineStr">
        <is>
          <t>ACB</t>
        </is>
      </c>
      <c r="C9">
        <f>VLOOKUP(TRIM(B9),'Tong_hop_phi'!$A$4:$D$13,2,FALSE)</f>
        <v/>
      </c>
      <c r="D9">
        <f>IFERROR(VLOOKUP(TRIM(A9),'Tra_cuu_nguoi_dung'!$A$2:$C$13,3,FALSE),"#N/A")</f>
        <v/>
      </c>
      <c r="E9" s="4" t="n">
        <v>450000</v>
      </c>
      <c r="F9" s="4">
        <f>VLOOKUP(TRIM(B9),'Tong_hop_phi'!$A$4:$D$13,4,FALSE)</f>
        <v/>
      </c>
      <c r="G9" s="5">
        <f>VLOOKUP(TRIM(B9),'Tong_hop_phi'!$A$4:$D$13,3,FALSE)</f>
        <v/>
      </c>
      <c r="H9" s="4">
        <f>E9*G9</f>
        <v/>
      </c>
      <c r="I9" s="4">
        <f>F9+H9</f>
        <v/>
      </c>
      <c r="J9" t="inlineStr">
        <is>
          <t>Thanh toán dịch vụ</t>
        </is>
      </c>
    </row>
    <row r="10">
      <c r="A10" t="inlineStr">
        <is>
          <t>GD0007</t>
        </is>
      </c>
      <c r="B10" t="inlineStr">
        <is>
          <t>VPB</t>
        </is>
      </c>
      <c r="C10">
        <f>VLOOKUP(TRIM(B10),'Tong_hop_phi'!$A$4:$D$13,2,FALSE)</f>
        <v/>
      </c>
      <c r="D10">
        <f>IFERROR(VLOOKUP(TRIM(A10),'Tra_cuu_nguoi_dung'!$A$2:$C$13,3,FALSE),"#N/A")</f>
        <v/>
      </c>
      <c r="E10" s="4" t="n">
        <v>980000</v>
      </c>
      <c r="F10" s="4">
        <f>VLOOKUP(TRIM(B10),'Tong_hop_phi'!$A$4:$D$13,4,FALSE)</f>
        <v/>
      </c>
      <c r="G10" s="5">
        <f>VLOOKUP(TRIM(B10),'Tong_hop_phi'!$A$4:$D$13,3,FALSE)</f>
        <v/>
      </c>
      <c r="H10" s="4">
        <f>E10*G10</f>
        <v/>
      </c>
      <c r="I10" s="4">
        <f>F10+H10</f>
        <v/>
      </c>
      <c r="J10" t="inlineStr">
        <is>
          <t>Mua hàng</t>
        </is>
      </c>
    </row>
    <row r="11">
      <c r="A11" t="inlineStr">
        <is>
          <t>GD0008</t>
        </is>
      </c>
      <c r="B11" t="inlineStr">
        <is>
          <t>TPB</t>
        </is>
      </c>
      <c r="C11">
        <f>VLOOKUP(TRIM(B11),'Tong_hop_phi'!$A$4:$D$13,2,FALSE)</f>
        <v/>
      </c>
      <c r="D11">
        <f>IFERROR(VLOOKUP(TRIM(A11),'Tra_cuu_nguoi_dung'!$A$2:$C$13,3,FALSE),"#N/A")</f>
        <v/>
      </c>
      <c r="E11" s="4" t="n">
        <v>620000</v>
      </c>
      <c r="F11" s="4">
        <f>VLOOKUP(TRIM(B11),'Tong_hop_phi'!$A$4:$D$13,4,FALSE)</f>
        <v/>
      </c>
      <c r="G11" s="5">
        <f>VLOOKUP(TRIM(B11),'Tong_hop_phi'!$A$4:$D$13,3,FALSE)</f>
        <v/>
      </c>
      <c r="H11" s="4">
        <f>E11*G11</f>
        <v/>
      </c>
      <c r="I11" s="4">
        <f>F11+H11</f>
        <v/>
      </c>
      <c r="J11" t="inlineStr">
        <is>
          <t>Nạp tiền</t>
        </is>
      </c>
    </row>
    <row r="12">
      <c r="A12" t="inlineStr">
        <is>
          <t>GD0009</t>
        </is>
      </c>
      <c r="B12" t="inlineStr">
        <is>
          <t>OCB</t>
        </is>
      </c>
      <c r="C12">
        <f>VLOOKUP(TRIM(B12),'Tong_hop_phi'!$A$4:$D$13,2,FALSE)</f>
        <v/>
      </c>
      <c r="D12">
        <f>IFERROR(VLOOKUP(TRIM(A12),'Tra_cuu_nguoi_dung'!$A$2:$C$13,3,FALSE),"#N/A")</f>
        <v/>
      </c>
      <c r="E12" s="4" t="n">
        <v>1100000</v>
      </c>
      <c r="F12" s="4">
        <f>VLOOKUP(TRIM(B12),'Tong_hop_phi'!$A$4:$D$13,4,FALSE)</f>
        <v/>
      </c>
      <c r="G12" s="5">
        <f>VLOOKUP(TRIM(B12),'Tong_hop_phi'!$A$4:$D$13,3,FALSE)</f>
        <v/>
      </c>
      <c r="H12" s="4">
        <f>E12*G12</f>
        <v/>
      </c>
      <c r="I12" s="4">
        <f>F12+H12</f>
        <v/>
      </c>
      <c r="J12" t="inlineStr">
        <is>
          <t>Thanh toán học phí</t>
        </is>
      </c>
    </row>
    <row r="13">
      <c r="A13" t="inlineStr">
        <is>
          <t>GD0010</t>
        </is>
      </c>
      <c r="B13" t="inlineStr">
        <is>
          <t>SHB</t>
        </is>
      </c>
      <c r="C13">
        <f>VLOOKUP(TRIM(B13),'Tong_hop_phi'!$A$4:$D$13,2,FALSE)</f>
        <v/>
      </c>
      <c r="D13">
        <f>IFERROR(VLOOKUP(TRIM(A13),'Tra_cuu_nguoi_dung'!$A$2:$C$13,3,FALSE),"#N/A")</f>
        <v/>
      </c>
      <c r="E13" s="4" t="n">
        <v>740000</v>
      </c>
      <c r="F13" s="4">
        <f>VLOOKUP(TRIM(B13),'Tong_hop_phi'!$A$4:$D$13,4,FALSE)</f>
        <v/>
      </c>
      <c r="G13" s="5">
        <f>VLOOKUP(TRIM(B13),'Tong_hop_phi'!$A$4:$D$13,3,FALSE)</f>
        <v/>
      </c>
      <c r="H13" s="4">
        <f>E13*G13</f>
        <v/>
      </c>
      <c r="I13" s="4">
        <f>F13+H13</f>
        <v/>
      </c>
      <c r="J13" t="inlineStr">
        <is>
          <t>Mua hàng</t>
        </is>
      </c>
    </row>
    <row r="14">
      <c r="A14" t="inlineStr">
        <is>
          <t>GD0011</t>
        </is>
      </c>
      <c r="B14" t="inlineStr">
        <is>
          <t>VCB</t>
        </is>
      </c>
      <c r="C14">
        <f>VLOOKUP(TRIM(B14),'Tong_hop_phi'!$A$4:$D$13,2,FALSE)</f>
        <v/>
      </c>
      <c r="D14">
        <f>IFERROR(VLOOKUP(TRIM(A14),'Tra_cuu_nguoi_dung'!$A$2:$C$13,3,FALSE),"#N/A")</f>
        <v/>
      </c>
      <c r="E14" s="4" t="n">
        <v>830000</v>
      </c>
      <c r="F14" s="4">
        <f>VLOOKUP(TRIM(B14),'Tong_hop_phi'!$A$4:$D$13,4,FALSE)</f>
        <v/>
      </c>
      <c r="G14" s="5">
        <f>VLOOKUP(TRIM(B14),'Tong_hop_phi'!$A$4:$D$13,3,FALSE)</f>
        <v/>
      </c>
      <c r="H14" s="4">
        <f>E14*G14</f>
        <v/>
      </c>
      <c r="I14" s="4">
        <f>F14+H14</f>
        <v/>
      </c>
      <c r="J14" t="inlineStr">
        <is>
          <t>Nạp tiền</t>
        </is>
      </c>
    </row>
    <row r="15">
      <c r="A15" t="inlineStr">
        <is>
          <t>GD0012</t>
        </is>
      </c>
      <c r="B15" t="inlineStr">
        <is>
          <t>BIDV</t>
        </is>
      </c>
      <c r="C15">
        <f>VLOOKUP(TRIM(B15),'Tong_hop_phi'!$A$4:$D$13,2,FALSE)</f>
        <v/>
      </c>
      <c r="D15">
        <f>IFERROR(VLOOKUP(TRIM(A15),'Tra_cuu_nguoi_dung'!$A$2:$C$13,3,FALSE),"#N/A")</f>
        <v/>
      </c>
      <c r="E15" s="4" t="n">
        <v>560000</v>
      </c>
      <c r="F15" s="4">
        <f>VLOOKUP(TRIM(B15),'Tong_hop_phi'!$A$4:$D$13,4,FALSE)</f>
        <v/>
      </c>
      <c r="G15" s="5">
        <f>VLOOKUP(TRIM(B15),'Tong_hop_phi'!$A$4:$D$13,3,FALSE)</f>
        <v/>
      </c>
      <c r="H15" s="4">
        <f>E15*G15</f>
        <v/>
      </c>
      <c r="I15" s="4">
        <f>F15+H15</f>
        <v/>
      </c>
      <c r="J15" t="inlineStr">
        <is>
          <t>Thanh toán dịch vụ</t>
        </is>
      </c>
    </row>
  </sheetData>
  <autoFilter ref="A3:J15"/>
  <conditionalFormatting sqref="D2:D13">
    <cfRule type="colorScale" priority="1">
      <colorScale>
        <cfvo type="min"/>
        <cfvo type="percentile" val="50"/>
        <cfvo type="max"/>
        <color rgb="00FFFFFF"/>
        <color rgb="00E8F1FB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</cols>
  <sheetData>
    <row r="1">
      <c r="A1" s="6" t="inlineStr">
        <is>
          <t>Mã giao dịch</t>
        </is>
      </c>
      <c r="B1" s="6" t="inlineStr">
        <is>
          <t>Mã người dùng</t>
        </is>
      </c>
      <c r="C1" s="6" t="inlineStr">
        <is>
          <t>Tên người dùng</t>
        </is>
      </c>
    </row>
    <row r="2">
      <c r="A2" t="inlineStr">
        <is>
          <t>GD0001</t>
        </is>
      </c>
      <c r="B2" t="inlineStr">
        <is>
          <t>SV0001</t>
        </is>
      </c>
      <c r="C2" t="inlineStr">
        <is>
          <t xml:space="preserve">  Nguyễn Minh Anh  </t>
        </is>
      </c>
    </row>
    <row r="3">
      <c r="A3" t="inlineStr">
        <is>
          <t>GD0002</t>
        </is>
      </c>
      <c r="B3" t="inlineStr">
        <is>
          <t>SV0002</t>
        </is>
      </c>
      <c r="C3" t="inlineStr">
        <is>
          <t>Trần Gia Hân</t>
        </is>
      </c>
    </row>
    <row r="4">
      <c r="A4" t="inlineStr">
        <is>
          <t>GD0003</t>
        </is>
      </c>
      <c r="B4" t="inlineStr">
        <is>
          <t>SV0003</t>
        </is>
      </c>
      <c r="C4" t="inlineStr">
        <is>
          <t xml:space="preserve">  Lê Hoàng Nam</t>
        </is>
      </c>
    </row>
    <row r="5">
      <c r="A5" t="inlineStr">
        <is>
          <t>GD0004</t>
        </is>
      </c>
      <c r="B5" t="inlineStr">
        <is>
          <t>SV0004</t>
        </is>
      </c>
      <c r="C5" t="inlineStr">
        <is>
          <t xml:space="preserve">Phạm Khánh Linh </t>
        </is>
      </c>
    </row>
    <row r="6">
      <c r="A6" t="inlineStr">
        <is>
          <t>GD0005</t>
        </is>
      </c>
      <c r="B6" t="inlineStr">
        <is>
          <t>SV0005</t>
        </is>
      </c>
      <c r="C6" t="inlineStr">
        <is>
          <t>Đỗ Minh Khang</t>
        </is>
      </c>
    </row>
    <row r="7">
      <c r="A7" t="inlineStr">
        <is>
          <t>GD0006</t>
        </is>
      </c>
      <c r="B7" t="inlineStr">
        <is>
          <t>SV0006</t>
        </is>
      </c>
      <c r="C7" t="inlineStr">
        <is>
          <t xml:space="preserve">  Nguyễn Thảo Vy</t>
        </is>
      </c>
    </row>
    <row r="8">
      <c r="A8" t="inlineStr">
        <is>
          <t>GD0007</t>
        </is>
      </c>
      <c r="B8" t="inlineStr">
        <is>
          <t>SV0007</t>
        </is>
      </c>
      <c r="C8" t="inlineStr">
        <is>
          <t>Bùi Quốc Huy</t>
        </is>
      </c>
    </row>
    <row r="9">
      <c r="A9" t="inlineStr">
        <is>
          <t>GD0008</t>
        </is>
      </c>
      <c r="B9" t="inlineStr">
        <is>
          <t>SV0008</t>
        </is>
      </c>
      <c r="C9" t="inlineStr">
        <is>
          <t xml:space="preserve">Ngô Nhật Minh </t>
        </is>
      </c>
    </row>
    <row r="10">
      <c r="A10" t="inlineStr">
        <is>
          <t>GD0009</t>
        </is>
      </c>
      <c r="B10" t="inlineStr">
        <is>
          <t>SV0009</t>
        </is>
      </c>
      <c r="C10" t="inlineStr">
        <is>
          <t xml:space="preserve">  Võ Ngọc Mai</t>
        </is>
      </c>
    </row>
    <row r="11">
      <c r="A11" t="inlineStr">
        <is>
          <t>GD0010</t>
        </is>
      </c>
      <c r="B11" t="inlineStr">
        <is>
          <t>SV0010</t>
        </is>
      </c>
      <c r="C11" t="inlineStr">
        <is>
          <t>Đặng Tuấn Kiệt</t>
        </is>
      </c>
    </row>
    <row r="12">
      <c r="A12" t="inlineStr">
        <is>
          <t>GD0011</t>
        </is>
      </c>
      <c r="B12" t="inlineStr">
        <is>
          <t>SV0011</t>
        </is>
      </c>
      <c r="C12" t="inlineStr">
        <is>
          <t>Lương Bảo Châu</t>
        </is>
      </c>
    </row>
    <row r="13">
      <c r="A13" t="inlineStr">
        <is>
          <t>GD0012</t>
        </is>
      </c>
      <c r="B13" t="inlineStr">
        <is>
          <t>SV0012</t>
        </is>
      </c>
      <c r="C13" t="inlineStr">
        <is>
          <t xml:space="preserve">  Phan Đức Anh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20" customWidth="1" min="7" max="7"/>
    <col width="18" customWidth="1" min="8" max="8"/>
  </cols>
  <sheetData>
    <row r="1" ht="24" customHeight="1">
      <c r="A1" s="1" t="inlineStr">
        <is>
          <t>BẢNG TỔNG HỢP PHÍ TỪ ĐỐI TÁC NGÂN HÀNG – THÁNG 05/2024</t>
        </is>
      </c>
    </row>
    <row r="2">
      <c r="A2" s="2" t="inlineStr">
        <is>
          <t>Công thức trọng tâm: VLOOKUP(...,FALSE) + TRIM; vùng dữ liệu chuẩn Database, không Merge và không có hàng trống.</t>
        </is>
      </c>
    </row>
    <row r="3">
      <c r="A3" s="3" t="inlineStr">
        <is>
          <t>Mã đối tác</t>
        </is>
      </c>
      <c r="B3" s="3" t="inlineStr">
        <is>
          <t>Ngân hàng</t>
        </is>
      </c>
      <c r="C3" s="3" t="inlineStr">
        <is>
          <t>Tỷ lệ phí (%)</t>
        </is>
      </c>
      <c r="D3" s="3" t="inlineStr">
        <is>
          <t>Phí cố định (VND)</t>
        </is>
      </c>
      <c r="E3" s="3" t="inlineStr">
        <is>
          <t>Số giao dịch</t>
        </is>
      </c>
      <c r="F3" s="3" t="inlineStr">
        <is>
          <t>Doanh số (VND)</t>
        </is>
      </c>
      <c r="G3" s="3" t="inlineStr">
        <is>
          <t>Phí biến đổi (VND)</t>
        </is>
      </c>
      <c r="H3" s="3" t="inlineStr">
        <is>
          <t>Tổng phí (VND)</t>
        </is>
      </c>
    </row>
    <row r="4">
      <c r="A4" t="inlineStr">
        <is>
          <t>VCB</t>
        </is>
      </c>
      <c r="B4" t="inlineStr">
        <is>
          <t>Vietcombank</t>
        </is>
      </c>
      <c r="C4" s="5" t="n">
        <v>0.0008</v>
      </c>
      <c r="D4" s="4" t="n">
        <v>1000000</v>
      </c>
      <c r="E4">
        <f>COUNTIF(Du_lieu_giao_dich!$B$2:$B$13,A4)</f>
        <v/>
      </c>
      <c r="F4" s="4">
        <f>SUMIF(Du_lieu_giao_dich!$B$2:$B$13,A4,Du_lieu_giao_dich!$E$2:$E$13)</f>
        <v/>
      </c>
      <c r="G4" s="4">
        <f>F4*C4</f>
        <v/>
      </c>
      <c r="H4" s="4">
        <f>D4*E4+G4</f>
        <v/>
      </c>
    </row>
    <row r="5">
      <c r="A5" t="inlineStr">
        <is>
          <t>BIDV</t>
        </is>
      </c>
      <c r="B5" t="inlineStr">
        <is>
          <t>BIDV</t>
        </is>
      </c>
      <c r="C5" s="5" t="n">
        <v>0.0008</v>
      </c>
      <c r="D5" s="4" t="n">
        <v>1000000</v>
      </c>
      <c r="E5">
        <f>COUNTIF(Du_lieu_giao_dich!$B$2:$B$13,A5)</f>
        <v/>
      </c>
      <c r="F5" s="4">
        <f>SUMIF(Du_lieu_giao_dich!$B$2:$B$13,A5,Du_lieu_giao_dich!$E$2:$E$13)</f>
        <v/>
      </c>
      <c r="G5" s="4">
        <f>F5*C5</f>
        <v/>
      </c>
      <c r="H5" s="4">
        <f>D5*E5+G5</f>
        <v/>
      </c>
    </row>
    <row r="6">
      <c r="A6" t="inlineStr">
        <is>
          <t>CTG</t>
        </is>
      </c>
      <c r="B6" t="inlineStr">
        <is>
          <t>VietinBank</t>
        </is>
      </c>
      <c r="C6" s="5" t="n">
        <v>0.0007</v>
      </c>
      <c r="D6" s="4" t="n">
        <v>1000000</v>
      </c>
      <c r="E6">
        <f>COUNTIF(Du_lieu_giao_dich!$B$2:$B$13,A6)</f>
        <v/>
      </c>
      <c r="F6" s="4">
        <f>SUMIF(Du_lieu_giao_dich!$B$2:$B$13,A6,Du_lieu_giao_dich!$E$2:$E$13)</f>
        <v/>
      </c>
      <c r="G6" s="4">
        <f>F6*C6</f>
        <v/>
      </c>
      <c r="H6" s="4">
        <f>D6*E6+G6</f>
        <v/>
      </c>
    </row>
    <row r="7">
      <c r="A7" t="inlineStr">
        <is>
          <t>TCB</t>
        </is>
      </c>
      <c r="B7" t="inlineStr">
        <is>
          <t>Techcombank</t>
        </is>
      </c>
      <c r="C7" s="5" t="n">
        <v>0.0007</v>
      </c>
      <c r="D7" s="4" t="n">
        <v>1000000</v>
      </c>
      <c r="E7">
        <f>COUNTIF(Du_lieu_giao_dich!$B$2:$B$13,A7)</f>
        <v/>
      </c>
      <c r="F7" s="4">
        <f>SUMIF(Du_lieu_giao_dich!$B$2:$B$13,A7,Du_lieu_giao_dich!$E$2:$E$13)</f>
        <v/>
      </c>
      <c r="G7" s="4">
        <f>F7*C7</f>
        <v/>
      </c>
      <c r="H7" s="4">
        <f>D7*E7+G7</f>
        <v/>
      </c>
    </row>
    <row r="8">
      <c r="A8" t="inlineStr">
        <is>
          <t>MBB</t>
        </is>
      </c>
      <c r="B8" t="inlineStr">
        <is>
          <t>MB Bank</t>
        </is>
      </c>
      <c r="C8" s="5" t="n">
        <v>0.0008</v>
      </c>
      <c r="D8" s="4" t="n">
        <v>1000000</v>
      </c>
      <c r="E8">
        <f>COUNTIF(Du_lieu_giao_dich!$B$2:$B$13,A8)</f>
        <v/>
      </c>
      <c r="F8" s="4">
        <f>SUMIF(Du_lieu_giao_dich!$B$2:$B$13,A8,Du_lieu_giao_dich!$E$2:$E$13)</f>
        <v/>
      </c>
      <c r="G8" s="4">
        <f>F8*C8</f>
        <v/>
      </c>
      <c r="H8" s="4">
        <f>D8*E8+G8</f>
        <v/>
      </c>
    </row>
    <row r="9">
      <c r="A9" t="inlineStr">
        <is>
          <t>ACB</t>
        </is>
      </c>
      <c r="B9" t="inlineStr">
        <is>
          <t>ACB</t>
        </is>
      </c>
      <c r="C9" s="5" t="n">
        <v>0.0008</v>
      </c>
      <c r="D9" s="4" t="n">
        <v>1000000</v>
      </c>
      <c r="E9">
        <f>COUNTIF(Du_lieu_giao_dich!$B$2:$B$13,A9)</f>
        <v/>
      </c>
      <c r="F9" s="4">
        <f>SUMIF(Du_lieu_giao_dich!$B$2:$B$13,A9,Du_lieu_giao_dich!$E$2:$E$13)</f>
        <v/>
      </c>
      <c r="G9" s="4">
        <f>F9*C9</f>
        <v/>
      </c>
      <c r="H9" s="4">
        <f>D9*E9+G9</f>
        <v/>
      </c>
    </row>
    <row r="10">
      <c r="A10" t="inlineStr">
        <is>
          <t>VPB</t>
        </is>
      </c>
      <c r="B10" t="inlineStr">
        <is>
          <t>VPBank</t>
        </is>
      </c>
      <c r="C10" s="5" t="n">
        <v>0.0008</v>
      </c>
      <c r="D10" s="4" t="n">
        <v>1000000</v>
      </c>
      <c r="E10">
        <f>COUNTIF(Du_lieu_giao_dich!$B$2:$B$13,A10)</f>
        <v/>
      </c>
      <c r="F10" s="4">
        <f>SUMIF(Du_lieu_giao_dich!$B$2:$B$13,A10,Du_lieu_giao_dich!$E$2:$E$13)</f>
        <v/>
      </c>
      <c r="G10" s="4">
        <f>F10*C10</f>
        <v/>
      </c>
      <c r="H10" s="4">
        <f>D10*E10+G10</f>
        <v/>
      </c>
    </row>
    <row r="11">
      <c r="A11" t="inlineStr">
        <is>
          <t>TPB</t>
        </is>
      </c>
      <c r="B11" t="inlineStr">
        <is>
          <t>TPBank</t>
        </is>
      </c>
      <c r="C11" s="5" t="n">
        <v>0.0008</v>
      </c>
      <c r="D11" s="4" t="n">
        <v>1000000</v>
      </c>
      <c r="E11">
        <f>COUNTIF(Du_lieu_giao_dich!$B$2:$B$13,A11)</f>
        <v/>
      </c>
      <c r="F11" s="4">
        <f>SUMIF(Du_lieu_giao_dich!$B$2:$B$13,A11,Du_lieu_giao_dich!$E$2:$E$13)</f>
        <v/>
      </c>
      <c r="G11" s="4">
        <f>F11*C11</f>
        <v/>
      </c>
      <c r="H11" s="4">
        <f>D11*E11+G11</f>
        <v/>
      </c>
    </row>
    <row r="12">
      <c r="A12" t="inlineStr">
        <is>
          <t>OCB</t>
        </is>
      </c>
      <c r="B12" t="inlineStr">
        <is>
          <t>OCB</t>
        </is>
      </c>
      <c r="C12" s="5" t="n">
        <v>0.0008</v>
      </c>
      <c r="D12" s="4" t="n">
        <v>1000000</v>
      </c>
      <c r="E12">
        <f>COUNTIF(Du_lieu_giao_dich!$B$2:$B$13,A12)</f>
        <v/>
      </c>
      <c r="F12" s="4">
        <f>SUMIF(Du_lieu_giao_dich!$B$2:$B$13,A12,Du_lieu_giao_dich!$E$2:$E$13)</f>
        <v/>
      </c>
      <c r="G12" s="4">
        <f>F12*C12</f>
        <v/>
      </c>
      <c r="H12" s="4">
        <f>D12*E12+G12</f>
        <v/>
      </c>
    </row>
    <row r="13">
      <c r="A13" t="inlineStr">
        <is>
          <t>SHB</t>
        </is>
      </c>
      <c r="B13" t="inlineStr">
        <is>
          <t>SHB</t>
        </is>
      </c>
      <c r="C13" s="5" t="n">
        <v>0.0008</v>
      </c>
      <c r="D13" s="4" t="n">
        <v>1000000</v>
      </c>
      <c r="E13">
        <f>COUNTIF(Du_lieu_giao_dich!$B$2:$B$13,A13)</f>
        <v/>
      </c>
      <c r="F13" s="4">
        <f>SUMIF(Du_lieu_giao_dich!$B$2:$B$13,A13,Du_lieu_giao_dich!$E$2:$E$13)</f>
        <v/>
      </c>
      <c r="G13" s="4">
        <f>F13*C13</f>
        <v/>
      </c>
      <c r="H13" s="4">
        <f>D13*E13+G13</f>
        <v/>
      </c>
    </row>
    <row r="14">
      <c r="A14" t="inlineStr">
        <is>
          <t>TỔNG CỘNG</t>
        </is>
      </c>
      <c r="C14" s="5" t="n"/>
      <c r="D14" s="4" t="n"/>
      <c r="E14">
        <f>SUM(E4:E13)</f>
        <v/>
      </c>
      <c r="F14" s="4">
        <f>SUM(F4:F13)</f>
        <v/>
      </c>
      <c r="G14" s="4">
        <f>SUM(G4:G13)</f>
        <v/>
      </c>
      <c r="H14" s="4">
        <f>SUM(H4:H13)</f>
        <v/>
      </c>
    </row>
  </sheetData>
  <autoFilter ref="A3:H13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2026-10-26T16:17:02Z</dcterms:created>
  <dcterms:modified xmlns:dcterms="http://purl.org/dc/terms/" xmlns:xsi="http://www.w3.org/2001/XMLSchema-instance" xsi:type="dcterms:W3CDTF">2026-10-26T16:17:02Z</dcterms:modified>
</cp:coreProperties>
</file>